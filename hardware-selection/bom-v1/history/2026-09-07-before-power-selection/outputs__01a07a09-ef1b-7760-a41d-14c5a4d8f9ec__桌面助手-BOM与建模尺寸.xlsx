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efd8ca5a3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BOM" sheetId="1" r:id="R6c32bea44de347ce"/>
    <x:sheet xmlns:r="http://schemas.openxmlformats.org/officeDocument/2006/relationships" name="开孔前的尺寸" sheetId="2" r:id="R29565f70d02f47a2"/>
    <x:sheet xmlns:r="http://schemas.openxmlformats.org/officeDocument/2006/relationships" name="分件计划" sheetId="3" r:id="R5d9ef7d0e89a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sz val="11"/>
      <x:color rgb="FF28312B"/>
      <x:name val="Arial"/>
    </x:font>
    <x:font>
      <x:b/>
      <x:sz val="16"/>
      <x:color rgb="FF25372F"/>
      <x:name val="Arial"/>
    </x:font>
    <x:font>
      <x:b/>
      <x:sz val="11"/>
      <x:color rgb="FFFFFFFF"/>
      <x:name val="Arial"/>
    </x:font>
    <x:font>
      <x:b/>
      <x:sz val="11"/>
      <x:color rgb="FF2831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72F"/>
      </x:patternFill>
    </x:fill>
    <x:fill>
      <x:patternFill patternType="solid">
        <x:fgColor rgb="FFDDE9DF"/>
      </x:patternFill>
    </x:fill>
    <x:fill>
      <x:patternFill patternType="solid">
        <x:fgColor rgb="FFFFF0CE"/>
      </x:patternFill>
    </x:fill>
  </x:fills>
  <x:borders count="2">
    <x:border/>
    <x:border>
      <x:bottom style="thin">
        <x:color rgb="FF9FB9A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93226"/>
      </x:font>
      <x:fill>
        <x:patternFill patternType="solid"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d8526dad245e8" /><Relationship Type="http://schemas.openxmlformats.org/officeDocument/2006/relationships/theme" Target="/xl/theme/theme1.xml" Id="R9272d3d49709425f" /><Relationship Type="http://schemas.openxmlformats.org/officeDocument/2006/relationships/sharedStrings" Target="/xl/sharedStrings.xml" Id="R99406eec0a7a4c74" /><Relationship Type="http://schemas.openxmlformats.org/officeDocument/2006/relationships/worksheet" Target="/xl/worksheets/sheet1.xml" Id="R6c32bea44de347ce" /><Relationship Type="http://schemas.openxmlformats.org/officeDocument/2006/relationships/worksheet" Target="/xl/worksheets/sheet2.xml" Id="R29565f70d02f47a2" /><Relationship Type="http://schemas.openxmlformats.org/officeDocument/2006/relationships/worksheet" Target="/xl/worksheets/sheet3.xml" Id="R5d9ef7d0e89a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72F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3" hidden="0" customWidth="1"/>
    <x:col min="2" max="2" width="9" hidden="0" customWidth="1"/>
    <x:col min="3" max="3" width="44" hidden="0" customWidth="1"/>
    <x:col min="4" max="4" width="8" hidden="0" customWidth="1"/>
    <x:col min="5" max="5" width="8" hidden="0" customWidth="1"/>
    <x:col min="6" max="6" width="14" hidden="0" customWidth="1"/>
    <x:col min="7" max="7" width="14" hidden="0" customWidth="1"/>
    <x:col min="8" max="8" width="24" hidden="0" customWidth="1"/>
    <x:col min="9" max="9" width="32" hidden="0" customWidth="1"/>
    <x:col min="10" max="10" width="3" hidden="0" customWidth="1"/>
    <x:col min="11" max="11" width="52" hidden="0" customWidth="1"/>
    <x:col min="12" max="12" width="7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3" t="str">
        <x:v>奶油薄荷桌面助手 · 内置电池版 BOM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 t="str">
        <x:v>首轮现金预留（元）</x:v>
      </x:c>
      <x:c r="C4" s="2"/>
      <x:c r="D4" s="5" t="n">
        <x:f>G35</x:f>
        <x:v>580.4</x:v>
      </x:c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 t="str">
        <x:v>屏幕＋舵机截图小计（元）</x:v>
      </x:c>
      <x:c r="C5" s="2"/>
      <x:c r="D5" s="5" t="n">
        <x:f>G11+G12</x:f>
        <x:v>112.4</x:v>
      </x:c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 t="str">
        <x:v>已确认首版内置电池。其余预算未询价，不能视作成交金额或预算已获批准。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 t="str">
        <x:v>黄色 D/F 列可修改；F 列为参考预算单价。币种：人民币。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 t="str">
        <x:v>包括一次 PCB 小批打样、整套打印和一轮试样；不含工具、精细喷漆及后续语音服务。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0" customHeight="1">
      <x:c r="A10" s="2"/>
      <x:c r="B10" s="9" t="str">
        <x:v>编号</x:v>
      </x:c>
      <x:c r="C10" s="9" t="str">
        <x:v>器件 / 规格方向</x:v>
      </x:c>
      <x:c r="D10" s="9" t="str">
        <x:v>数量</x:v>
      </x:c>
      <x:c r="E10" s="9" t="str">
        <x:v>单位</x:v>
      </x:c>
      <x:c r="F10" s="9" t="str">
        <x:v>参考单价</x:v>
      </x:c>
      <x:c r="G10" s="9" t="str">
        <x:v>预算小计</x:v>
      </x:c>
      <x:c r="H10" s="9" t="str">
        <x:v>当前选型状态</x:v>
      </x:c>
      <x:c r="I10" s="9" t="str">
        <x:v>影响哪些模型</x:v>
      </x:c>
      <x:c r="J10" s="2"/>
      <x:c r="K10" s="9" t="str">
        <x:v>价格依据</x:v>
      </x:c>
      <x:c r="L10" s="9" t="str">
        <x:v>资料 / 搜索方向</x:v>
      </x:c>
    </x:row>
    <x:row r="11" ht="53" customHeight="1">
      <x:c r="A11" s="2"/>
      <x:c r="B11" s="16" t="str">
        <x:v>E01</x:v>
      </x:c>
      <x:c r="C11" s="16" t="str">
        <x:v>途格斯 2.4寸 ST7789 TFT＋EC11</x:v>
      </x:c>
      <x:c r="D11" s="17" t="n">
        <x:v>1</x:v>
      </x:c>
      <x:c r="E11" s="16" t="str">
        <x:v>块</x:v>
      </x:c>
      <x:c r="F11" s="18" t="n">
        <x:v>32.4</x:v>
      </x:c>
      <x:c r="G11" s="19" t="n">
        <x:f>IF(OR(D11="",F11=""),"待填写",D11*F11)</x:f>
        <x:v>32.4</x:v>
      </x:c>
      <x:c r="H11" s="16" t="str">
        <x:v>已选，待实测</x:v>
      </x:c>
      <x:c r="I11" s="16" t="str">
        <x:v>开窗、支架、前盖深度</x:v>
      </x:c>
      <x:c r="J11" s="2"/>
      <x:c r="K11" s="20" t="str">
        <x:v>用户此前选中 SKU 截图 ¥32.4；非实时价</x:v>
      </x:c>
      <x:c r="L11" s="20" t="str">
        <x:v>hardware-selection/reference/screen-2p4-ec11-price-32p40.png</x:v>
      </x:c>
    </x:row>
    <x:row r="12" ht="53" customHeight="1">
      <x:c r="A12" s="2"/>
      <x:c r="B12" s="16" t="str">
        <x:v>E02</x:v>
      </x:c>
      <x:c r="C12" s="16" t="str">
        <x:v>MG90S 全金属齿轮 180度，带舵盘螺丝</x:v>
      </x:c>
      <x:c r="D12" s="17" t="n">
        <x:v>8</x:v>
      </x:c>
      <x:c r="E12" s="16" t="str">
        <x:v>个</x:v>
      </x:c>
      <x:c r="F12" s="18" t="n">
        <x:v>10</x:v>
      </x:c>
      <x:c r="G12" s="19" t="n">
        <x:f>IF(OR(D12="",F12=""),"待填写",D12*F12)</x:f>
        <x:v>80</x:v>
      </x:c>
      <x:c r="H12" s="16" t="str">
        <x:v>本轮选定，待实测</x:v>
      </x:c>
      <x:c r="I12" s="16" t="str">
        <x:v>安装耳、输出轴、舵盘、腿部承载</x:v>
      </x:c>
      <x:c r="J12" s="2"/>
      <x:c r="K12" s="20" t="str">
        <x:v>用户图二选中 SKU 截图 ¥10；非实时价</x:v>
      </x:c>
      <x:c r="L12" s="20" t="str">
        <x:v>https://towerpro.com.tw/product/mg90s-3/</x:v>
      </x:c>
    </x:row>
    <x:row r="13" ht="53" customHeight="1">
      <x:c r="A13" s="2"/>
      <x:c r="B13" s="16" t="str">
        <x:v>E03</x:v>
      </x:c>
      <x:c r="C13" s="16" t="str">
        <x:v>ESP32-S3 N16R8 已焊排针开发板</x:v>
      </x:c>
      <x:c r="D13" s="17" t="n">
        <x:v>1</x:v>
      </x:c>
      <x:c r="E13" s="16" t="str">
        <x:v>块</x:v>
      </x:c>
      <x:c r="F13" s="18" t="n">
        <x:v>45</x:v>
      </x:c>
      <x:c r="G13" s="19" t="n">
        <x:f>IF(OR(D13="",F13=""),"待填写",D13*F13)</x:f>
        <x:v>45</x:v>
      </x:c>
      <x:c r="H13" s="16" t="str">
        <x:v>推荐型号，板型待定</x:v>
      </x:c>
      <x:c r="I13" s="16" t="str">
        <x:v>USB孔、托板、排母高度与天线空间</x:v>
      </x:c>
      <x:c r="J13" s="2"/>
      <x:c r="K13" s="20" t="str">
        <x:v>预算预留；官网有型号，未读到人民币价</x:v>
      </x:c>
      <x:c r="L13" s="20" t="str">
        <x:v>https://www.waveshare.net/shop/ESP32-S3-DEV-KIT-N16R8.htm（参考 N16R8-M）</x:v>
      </x:c>
    </x:row>
    <x:row r="14" ht="53" customHeight="1">
      <x:c r="A14" s="2"/>
      <x:c r="B14" s="16" t="str">
        <x:v>E04</x:v>
      </x:c>
      <x:c r="C14" s="16" t="str">
        <x:v>PCA9685 16路 PWM 成品模块</x:v>
      </x:c>
      <x:c r="D14" s="17" t="n">
        <x:v>1</x:v>
      </x:c>
      <x:c r="E14" s="16" t="str">
        <x:v>块</x:v>
      </x:c>
      <x:c r="F14" s="18" t="n">
        <x:v>12</x:v>
      </x:c>
      <x:c r="G14" s="19" t="n">
        <x:f>IF(OR(D14="",F14=""),"待填写",D14*F14)</x:f>
        <x:v>12</x:v>
      </x:c>
      <x:c r="H14" s="16" t="str">
        <x:v>推荐模块，待选商品</x:v>
      </x:c>
      <x:c r="I14" s="16" t="str">
        <x:v>托板、排针与舵机插头空间</x:v>
      </x:c>
      <x:c r="J14" s="2"/>
      <x:c r="K14" s="20" t="str">
        <x:v>预算预留，未询价</x:v>
      </x:c>
      <x:c r="L14" s="20" t="str">
        <x:v>https://www.nxp.com/docs/en/data-sheet/PCA9685.pdf</x:v>
      </x:c>
    </x:row>
    <x:row r="15" ht="53" customHeight="1">
      <x:c r="A15" s="2"/>
      <x:c r="B15" s="16" t="str">
        <x:v>E05</x:v>
      </x:c>
      <x:c r="C15" s="16" t="str">
        <x:v>I²S 数字麦克风模块，INMP441 类</x:v>
      </x:c>
      <x:c r="D15" s="17" t="n">
        <x:v>1</x:v>
      </x:c>
      <x:c r="E15" s="16" t="str">
        <x:v>块</x:v>
      </x:c>
      <x:c r="F15" s="18" t="n">
        <x:v>8</x:v>
      </x:c>
      <x:c r="G15" s="19" t="n">
        <x:f>IF(OR(D15="",F15=""),"待填写",D15*F15)</x:f>
        <x:v>8</x:v>
      </x:c>
      <x:c r="H15" s="16" t="str">
        <x:v>推荐接口，待选商品</x:v>
      </x:c>
      <x:c r="I15" s="16" t="str">
        <x:v>声孔方向、密封导音、安装卡座</x:v>
      </x:c>
      <x:c r="J15" s="2"/>
      <x:c r="K15" s="20" t="str">
        <x:v>预算预留，未询价</x:v>
      </x:c>
      <x:c r="L15" s="20" t="str">
        <x:v>检索：INMP441 I2S 麦克风模块 已焊排针 尺寸图</x:v>
      </x:c>
    </x:row>
    <x:row r="16" ht="53" customHeight="1">
      <x:c r="A16" s="2"/>
      <x:c r="B16" s="16" t="str">
        <x:v>E06</x:v>
      </x:c>
      <x:c r="C16" s="16" t="str">
        <x:v>MAX98357A I²S 单声道功放模块</x:v>
      </x:c>
      <x:c r="D16" s="17" t="n">
        <x:v>1</x:v>
      </x:c>
      <x:c r="E16" s="16" t="str">
        <x:v>块</x:v>
      </x:c>
      <x:c r="F16" s="18" t="n">
        <x:v>6</x:v>
      </x:c>
      <x:c r="G16" s="19" t="n">
        <x:f>IF(OR(D16="",F16=""),"待填写",D16*F16)</x:f>
        <x:v>6</x:v>
      </x:c>
      <x:c r="H16" s="16" t="str">
        <x:v>推荐模块，待选商品</x:v>
      </x:c>
      <x:c r="I16" s="16" t="str">
        <x:v>托板、接线端子空间</x:v>
      </x:c>
      <x:c r="J16" s="2"/>
      <x:c r="K16" s="20" t="str">
        <x:v>预算预留，未询价</x:v>
      </x:c>
      <x:c r="L16" s="20" t="str">
        <x:v>https://www.analog.com/en/products/max98357a.html</x:v>
      </x:c>
    </x:row>
    <x:row r="17" ht="53" customHeight="1">
      <x:c r="A17" s="2"/>
      <x:c r="B17" s="16" t="str">
        <x:v>E07</x:v>
      </x:c>
      <x:c r="C17" s="16" t="str">
        <x:v>4Ω 3W 小喇叭，优先约28～30mm外形</x:v>
      </x:c>
      <x:c r="D17" s="17" t="n">
        <x:v>1</x:v>
      </x:c>
      <x:c r="E17" s="16" t="str">
        <x:v>个</x:v>
      </x:c>
      <x:c r="F17" s="18" t="n">
        <x:v>6</x:v>
      </x:c>
      <x:c r="G17" s="19" t="n">
        <x:f>IF(OR(D17="",F17=""),"待填写",D17*F17)</x:f>
        <x:v>6</x:v>
      </x:c>
      <x:c r="H17" s="16" t="str">
        <x:v>规格方向，外形待选</x:v>
      </x:c>
      <x:c r="I17" s="16" t="str">
        <x:v>声孔、支架、背腔与磁体高度</x:v>
      </x:c>
      <x:c r="J17" s="2"/>
      <x:c r="K17" s="20" t="str">
        <x:v>预算预留，未询价</x:v>
      </x:c>
      <x:c r="L17" s="20" t="str">
        <x:v>检索：4欧 3W 28mm 30mm 喇叭 带线 尺寸</x:v>
      </x:c>
    </x:row>
    <x:row r="18" ht="53" customHeight="1">
      <x:c r="A18" s="2"/>
      <x:c r="B18" s="16" t="str">
        <x:v>P01</x:v>
      </x:c>
      <x:c r="C18" s="16" t="str">
        <x:v>成品2S 7.4V锂电池包，含匹配保护</x:v>
      </x:c>
      <x:c r="D18" s="17" t="n">
        <x:v>1</x:v>
      </x:c>
      <x:c r="E18" s="16" t="str">
        <x:v>包</x:v>
      </x:c>
      <x:c r="F18" s="18" t="n">
        <x:v>55</x:v>
      </x:c>
      <x:c r="G18" s="19" t="n">
        <x:f>IF(OR(D18="",F18=""),"待填写",D18*F18)</x:f>
        <x:v>55</x:v>
      </x:c>
      <x:c r="H18" s="16" t="str">
        <x:v>电池必需；具体电池待选</x:v>
      </x:c>
      <x:c r="I18" s="16" t="str">
        <x:v>电池仓、压条、线缆和重心</x:v>
      </x:c>
      <x:c r="J18" s="2"/>
      <x:c r="K18" s="20" t="str">
        <x:v>预算预留，未询价；不另计包内保护板</x:v>
      </x:c>
      <x:c r="L18" s="20" t="str">
        <x:v>候选：1000～1500mAh；核实放电能力、尺寸、质量、保护及均衡</x:v>
      </x:c>
    </x:row>
    <x:row r="19" ht="53" customHeight="1">
      <x:c r="A19" s="2"/>
      <x:c r="B19" s="16" t="str">
        <x:v>P02</x:v>
      </x:c>
      <x:c r="C19" s="16" t="str">
        <x:v>与电池包配套的8.4V锂电充电器</x:v>
      </x:c>
      <x:c r="D19" s="17" t="n">
        <x:v>1</x:v>
      </x:c>
      <x:c r="E19" s="16" t="str">
        <x:v>个</x:v>
      </x:c>
      <x:c r="F19" s="18" t="n">
        <x:v>20</x:v>
      </x:c>
      <x:c r="G19" s="19" t="n">
        <x:f>IF(OR(D19="",F19=""),"待填写",D19*F19)</x:f>
        <x:v>20</x:v>
      </x:c>
      <x:c r="H19" s="16" t="str">
        <x:v>依电池匹配，待选商品</x:v>
      </x:c>
      <x:c r="I19" s="16" t="str">
        <x:v>决定机身充电接口形式</x:v>
      </x:c>
      <x:c r="J19" s="2"/>
      <x:c r="K19" s="20" t="str">
        <x:v>预算预留，未询价；外置配件</x:v>
      </x:c>
      <x:c r="L19" s="20" t="str">
        <x:v>要求与2S标准锂电匹配，确认充电电流、极性与均衡方案</x:v>
      </x:c>
    </x:row>
    <x:row r="20" ht="53" customHeight="1">
      <x:c r="A20" s="2"/>
      <x:c r="B20" s="16" t="str">
        <x:v>P03</x:v>
      </x:c>
      <x:c r="C20" s="16" t="str">
        <x:v>舵机路降压模块，约5V大电流输出</x:v>
      </x:c>
      <x:c r="D20" s="17" t="n">
        <x:v>1</x:v>
      </x:c>
      <x:c r="E20" s="16" t="str">
        <x:v>块</x:v>
      </x:c>
      <x:c r="F20" s="18" t="n">
        <x:v>28</x:v>
      </x:c>
      <x:c r="G20" s="19" t="n">
        <x:f>IF(OR(D20="",F20=""),"待填写",D20*F20)</x:f>
        <x:v>28</x:v>
      </x:c>
      <x:c r="H20" s="16" t="str">
        <x:v>电源路线候选，待选商品</x:v>
      </x:c>
      <x:c r="I20" s="16" t="str">
        <x:v>板体、散热、接线与固定空间</x:v>
      </x:c>
      <x:c r="J20" s="2"/>
      <x:c r="K20" s="20" t="str">
        <x:v>预算预留，未询价</x:v>
      </x:c>
      <x:c r="L20" s="20" t="str">
        <x:v>候选目标：5V连续6A级；按8舵机实测峰值和温升选定</x:v>
      </x:c>
    </x:row>
    <x:row r="21" ht="53" customHeight="1">
      <x:c r="A21" s="2"/>
      <x:c r="B21" s="16" t="str">
        <x:v>P04</x:v>
      </x:c>
      <x:c r="C21" s="16" t="str">
        <x:v>逻辑/音频路降压模块，5V约2A级</x:v>
      </x:c>
      <x:c r="D21" s="17" t="n">
        <x:v>1</x:v>
      </x:c>
      <x:c r="E21" s="16" t="str">
        <x:v>块</x:v>
      </x:c>
      <x:c r="F21" s="18" t="n">
        <x:v>12</x:v>
      </x:c>
      <x:c r="G21" s="19" t="n">
        <x:f>IF(OR(D21="",F21=""),"待填写",D21*F21)</x:f>
        <x:v>12</x:v>
      </x:c>
      <x:c r="H21" s="16" t="str">
        <x:v>电源路线候选，待选商品</x:v>
      </x:c>
      <x:c r="I21" s="16" t="str">
        <x:v>托板、散热与接线空间</x:v>
      </x:c>
      <x:c r="J21" s="2"/>
      <x:c r="K21" s="20" t="str">
        <x:v>预算预留，未询价</x:v>
      </x:c>
      <x:c r="L21" s="20" t="str">
        <x:v>2S输入；与舵机分支供电并共地，实际余量待验证</x:v>
      </x:c>
    </x:row>
    <x:row r="22" ht="53" customHeight="1">
      <x:c r="A22" s="2"/>
      <x:c r="B22" s="16" t="str">
        <x:v>P05</x:v>
      </x:c>
      <x:c r="C22" s="16" t="str">
        <x:v>带线面板充电插座</x:v>
      </x:c>
      <x:c r="D22" s="17" t="n">
        <x:v>1</x:v>
      </x:c>
      <x:c r="E22" s="16" t="str">
        <x:v>个</x:v>
      </x:c>
      <x:c r="F22" s="18" t="n">
        <x:v>5</x:v>
      </x:c>
      <x:c r="G22" s="19" t="n">
        <x:f>IF(OR(D22="",F22=""),"待填写",D22*F22)</x:f>
        <x:v>5</x:v>
      </x:c>
      <x:c r="H22" s="16" t="str">
        <x:v>依充电器选定</x:v>
      </x:c>
      <x:c r="I22" s="16" t="str">
        <x:v>开孔、面板厚度、螺母与插头空间</x:v>
      </x:c>
      <x:c r="J22" s="2"/>
      <x:c r="K22" s="20" t="str">
        <x:v>预算预留，未询价</x:v>
      </x:c>
      <x:c r="L22" s="20" t="str">
        <x:v>优先与充电器成套匹配；不把USB调试口当充电口</x:v>
      </x:c>
    </x:row>
    <x:row r="23" ht="53" customHeight="1">
      <x:c r="A23" s="2"/>
      <x:c r="B23" s="16" t="str">
        <x:v>P06</x:v>
      </x:c>
      <x:c r="C23" s="16" t="str">
        <x:v>电源控制开关</x:v>
      </x:c>
      <x:c r="D23" s="17" t="n">
        <x:v>1</x:v>
      </x:c>
      <x:c r="E23" s="16" t="str">
        <x:v>个</x:v>
      </x:c>
      <x:c r="F23" s="18" t="n">
        <x:v>5</x:v>
      </x:c>
      <x:c r="G23" s="19" t="n">
        <x:f>IF(OR(D23="",F23=""),"待填写",D23*F23)</x:f>
        <x:v>5</x:v>
      </x:c>
      <x:c r="H23" s="16" t="str">
        <x:v>开关外形待选</x:v>
      </x:c>
      <x:c r="I23" s="16" t="str">
        <x:v>开孔、拨杆行程与内侧固定</x:v>
      </x:c>
      <x:c r="J23" s="2"/>
      <x:c r="K23" s="20" t="str">
        <x:v>预算预留，未询价</x:v>
      </x:c>
      <x:c r="L23" s="20" t="str">
        <x:v>优先控制负载开关；若直接切电源须满足实际直流电流</x:v>
      </x:c>
    </x:row>
    <x:row r="24" ht="53" customHeight="1">
      <x:c r="A24" s="2"/>
      <x:c r="B24" s="16" t="str">
        <x:v>P07</x:v>
      </x:c>
      <x:c r="C24" s="16" t="str">
        <x:v>负载开关/保险、采样与滤波元件</x:v>
      </x:c>
      <x:c r="D24" s="17" t="n">
        <x:v>1</x:v>
      </x:c>
      <x:c r="E24" s="16" t="str">
        <x:v>套</x:v>
      </x:c>
      <x:c r="F24" s="18" t="n">
        <x:v>15</x:v>
      </x:c>
      <x:c r="G24" s="19" t="n">
        <x:f>IF(OR(D24="",F24=""),"待填写",D24*F24)</x:f>
        <x:v>15</x:v>
      </x:c>
      <x:c r="H24" s="16" t="str">
        <x:v>原理图阶段定值</x:v>
      </x:c>
      <x:c r="I24" s="16" t="str">
        <x:v>高件高度、发热、维修空间</x:v>
      </x:c>
      <x:c r="J24" s="2"/>
      <x:c r="K24" s="20" t="str">
        <x:v>预算预留，未询价；非器件级PCB BOM</x:v>
      </x:c>
      <x:c r="L24" s="20" t="str">
        <x:v>包括必要MOSFET、保险、分压、电容等；具体料号待原理图</x:v>
      </x:c>
    </x:row>
    <x:row r="25" ht="53" customHeight="1">
      <x:c r="A25" s="2"/>
      <x:c r="B25" s="16" t="str">
        <x:v>P08</x:v>
      </x:c>
      <x:c r="C25" s="16" t="str">
        <x:v>电源/信号线、排母及配套连接器</x:v>
      </x:c>
      <x:c r="D25" s="17" t="n">
        <x:v>1</x:v>
      </x:c>
      <x:c r="E25" s="16" t="str">
        <x:v>套</x:v>
      </x:c>
      <x:c r="F25" s="18" t="n">
        <x:v>18</x:v>
      </x:c>
      <x:c r="G25" s="19" t="n">
        <x:f>IF(OR(D25="",F25=""),"待填写",D25*F25)</x:f>
        <x:v>18</x:v>
      </x:c>
      <x:c r="H25" s="16" t="str">
        <x:v>接口方向待定</x:v>
      </x:c>
      <x:c r="I25" s="16" t="str">
        <x:v>插拔、弯曲、走线和扎线位置</x:v>
      </x:c>
      <x:c r="J25" s="2"/>
      <x:c r="K25" s="20" t="str">
        <x:v>预算预留，未询价</x:v>
      </x:c>
      <x:c r="L25" s="20" t="str">
        <x:v>主电流接头按电流选；舵机标准3线接口；大电流不走开发板</x:v>
      </x:c>
    </x:row>
    <x:row r="26" ht="53" customHeight="1">
      <x:c r="A26" s="2"/>
      <x:c r="B26" s="16" t="str">
        <x:v>P09</x:v>
      </x:c>
      <x:c r="C26" s="16" t="str">
        <x:v>定制载板/配电PCB首次打样</x:v>
      </x:c>
      <x:c r="D26" s="17" t="n">
        <x:v>1</x:v>
      </x:c>
      <x:c r="E26" s="16" t="str">
        <x:v>批</x:v>
      </x:c>
      <x:c r="F26" s="18" t="n">
        <x:v>30</x:v>
      </x:c>
      <x:c r="G26" s="19" t="n">
        <x:f>IF(OR(D26="",F26=""),"待填写",D26*F26)</x:f>
        <x:v>30</x:v>
      </x:c>
      <x:c r="H26" s="16" t="str">
        <x:v>待设计</x:v>
      </x:c>
      <x:c r="I26" s="16" t="str">
        <x:v>板框、孔位、接口边和最高元件</x:v>
      </x:c>
      <x:c r="J26" s="2"/>
      <x:c r="K26" s="20" t="str">
        <x:v>预算预留，非板厂报价；按一次小批订单</x:v>
      </x:c>
      <x:c r="L26" s="20" t="str">
        <x:v>单机用1块；以5片小批作为询价口径，计整批现金，不计SMT</x:v>
      </x:c>
    </x:row>
    <x:row r="27" ht="53" customHeight="1">
      <x:c r="A27" s="2"/>
      <x:c r="B27" s="16" t="str">
        <x:v>M01</x:v>
      </x:c>
      <x:c r="C27" s="16" t="str">
        <x:v>壳体与支架螺钉、螺母、垫柱</x:v>
      </x:c>
      <x:c r="D27" s="17" t="n">
        <x:v>1</x:v>
      </x:c>
      <x:c r="E27" s="16" t="str">
        <x:v>套</x:v>
      </x:c>
      <x:c r="F27" s="18" t="n">
        <x:v>15</x:v>
      </x:c>
      <x:c r="G27" s="19" t="n">
        <x:f>IF(OR(D27="",F27=""),"待填写",D27*F27)</x:f>
        <x:v>15</x:v>
      </x:c>
      <x:c r="H27" s="16" t="str">
        <x:v>规格与数量待结构设计</x:v>
      </x:c>
      <x:c r="I27" s="16" t="str">
        <x:v>通孔、螺母槽、柱体与工具空间</x:v>
      </x:c>
      <x:c r="J27" s="2"/>
      <x:c r="K27" s="20" t="str">
        <x:v>预算预留；舵机随包中心螺丝不重复计价</x:v>
      </x:c>
      <x:c r="L27" s="20" t="str">
        <x:v>建议主体以M2螺钉/捕获螺母起步；舵机中心螺丝用随包件</x:v>
      </x:c>
    </x:row>
    <x:row r="28" ht="53" customHeight="1">
      <x:c r="A28" s="2"/>
      <x:c r="B28" s="16" t="str">
        <x:v>M02</x:v>
      </x:c>
      <x:c r="C28" s="16" t="str">
        <x:v>软脚垫4只</x:v>
      </x:c>
      <x:c r="D28" s="17" t="n">
        <x:v>1</x:v>
      </x:c>
      <x:c r="E28" s="16" t="str">
        <x:v>套</x:v>
      </x:c>
      <x:c r="F28" s="18" t="n">
        <x:v>8</x:v>
      </x:c>
      <x:c r="G28" s="19" t="n">
        <x:f>IF(OR(D28="",F28=""),"待填写",D28*F28)</x:f>
        <x:v>8</x:v>
      </x:c>
      <x:c r="H28" s="16" t="str">
        <x:v>外形待定</x:v>
      </x:c>
      <x:c r="I28" s="16" t="str">
        <x:v>脚底嵌槽与支撑高度</x:v>
      </x:c>
      <x:c r="J28" s="2"/>
      <x:c r="K28" s="20" t="str">
        <x:v>预算预留，未询价</x:v>
      </x:c>
      <x:c r="L28" s="20" t="str">
        <x:v>硅胶/橡胶脚垫或TPU件，采购与打印二选一计价</x:v>
      </x:c>
    </x:row>
    <x:row r="29" ht="53" customHeight="1">
      <x:c r="A29" s="2"/>
      <x:c r="B29" s="16" t="str">
        <x:v>M03</x:v>
      </x:c>
      <x:c r="C29" s="16" t="str">
        <x:v>电池束带、缓冲/导音泡棉和扎带</x:v>
      </x:c>
      <x:c r="D29" s="17" t="n">
        <x:v>1</x:v>
      </x:c>
      <x:c r="E29" s="16" t="str">
        <x:v>套</x:v>
      </x:c>
      <x:c r="F29" s="18" t="n">
        <x:v>5</x:v>
      </x:c>
      <x:c r="G29" s="19" t="n">
        <x:f>IF(OR(D29="",F29=""),"待填写",D29*F29)</x:f>
        <x:v>5</x:v>
      </x:c>
      <x:c r="H29" s="16" t="str">
        <x:v>依结构裁切</x:v>
      </x:c>
      <x:c r="I29" s="16" t="str">
        <x:v>电池固定、导音与线束整理</x:v>
      </x:c>
      <x:c r="J29" s="2"/>
      <x:c r="K29" s="20" t="str">
        <x:v>预算预留，未询价</x:v>
      </x:c>
      <x:c r="L29" s="20" t="str">
        <x:v>不可挤压软包电池；尺寸按所选电池和固定方式确定</x:v>
      </x:c>
    </x:row>
    <x:row r="30" ht="53" customHeight="1">
      <x:c r="A30" s="2"/>
      <x:c r="B30" s="16" t="str">
        <x:v>M04</x:v>
      </x:c>
      <x:c r="C30" s="16" t="str">
        <x:v>整套壳体、腿及安装小件打印</x:v>
      </x:c>
      <x:c r="D30" s="17" t="n">
        <x:v>1</x:v>
      </x:c>
      <x:c r="E30" s="16" t="str">
        <x:v>套</x:v>
      </x:c>
      <x:c r="F30" s="18" t="n">
        <x:v>90</x:v>
      </x:c>
      <x:c r="G30" s="19" t="n">
        <x:f>IF(OR(D30="",F30=""),"待填写",D30*F30)</x:f>
        <x:v>90</x:v>
      </x:c>
      <x:c r="H30" s="16" t="str">
        <x:v>分件计划，未出生产文件</x:v>
      </x:c>
      <x:c r="I30" s="16" t="str">
        <x:v>全部外壳、关节、耳饰及安装件</x:v>
      </x:c>
      <x:c r="J30" s="2"/>
      <x:c r="K30" s="20" t="str">
        <x:v>预算预留，非商家报价；不按广告每克价折算</x:v>
      </x:c>
      <x:c r="L30" s="20" t="str">
        <x:v>原色FDM及基础处理口径；奶油白/薄荷绿，精细喷漆另询价</x:v>
      </x:c>
    </x:row>
    <x:row r="31" ht="53" customHeight="1">
      <x:c r="A31" s="2"/>
      <x:c r="B31" s="16" t="str">
        <x:v>M05</x:v>
      </x:c>
      <x:c r="C31" s="16" t="str">
        <x:v>屏幕样框、单腿与配合试样打印</x:v>
      </x:c>
      <x:c r="D31" s="17" t="n">
        <x:v>1</x:v>
      </x:c>
      <x:c r="E31" s="16" t="str">
        <x:v>轮</x:v>
      </x:c>
      <x:c r="F31" s="18" t="n">
        <x:v>20</x:v>
      </x:c>
      <x:c r="G31" s="19" t="n">
        <x:f>IF(OR(D31="",F31=""),"待填写",D31*F31)</x:f>
        <x:v>20</x:v>
      </x:c>
      <x:c r="H31" s="16" t="str">
        <x:v>需尺寸后建模</x:v>
      </x:c>
      <x:c r="I31" s="16" t="str">
        <x:v>校准间隙、紧固及单腿装配</x:v>
      </x:c>
      <x:c r="J31" s="2"/>
      <x:c r="K31" s="20" t="str">
        <x:v>预算预留；为额外试样，不与整套打印重复</x:v>
      </x:c>
      <x:c r="L31" s="20" t="str">
        <x:v>优先小件试配，失败改图后再打印整套</x:v>
      </x:c>
    </x:row>
    <x:row r="32" ht="53" customHeight="1">
      <x:c r="A32" s="2"/>
      <x:c r="B32" s="16" t="str">
        <x:v>L01</x:v>
      </x:c>
      <x:c r="C32" s="16" t="str">
        <x:v>多个供应商合计运费</x:v>
      </x:c>
      <x:c r="D32" s="17" t="n">
        <x:v>1</x:v>
      </x:c>
      <x:c r="E32" s="16" t="str">
        <x:v>项</x:v>
      </x:c>
      <x:c r="F32" s="18" t="n">
        <x:v>25</x:v>
      </x:c>
      <x:c r="G32" s="19" t="n">
        <x:f>IF(OR(D32="",F32=""),"待填写",D32*F32)</x:f>
        <x:v>25</x:v>
      </x:c>
      <x:c r="H32" s="16" t="str">
        <x:v>待结算</x:v>
      </x:c>
      <x:c r="I32" s="16" t="str">
        <x:v>无模型影响</x:v>
      </x:c>
      <x:c r="J32" s="2"/>
      <x:c r="K32" s="20" t="str">
        <x:v>预算预留；已包邮部分应扣除</x:v>
      </x:c>
      <x:c r="L32" s="20" t="str">
        <x:v>与各件单价分开</x:v>
      </x:c>
    </x:row>
    <x:row r="33" ht="53" customHeight="1">
      <x:c r="A33" s="2"/>
      <x:c r="B33" s="16" t="str">
        <x:v>L02</x:v>
      </x:c>
      <x:c r="C33" s="16" t="str">
        <x:v>补件与试制返工预留</x:v>
      </x:c>
      <x:c r="D33" s="17" t="n">
        <x:v>1</x:v>
      </x:c>
      <x:c r="E33" s="16" t="str">
        <x:v>项</x:v>
      </x:c>
      <x:c r="F33" s="18" t="n">
        <x:v>40</x:v>
      </x:c>
      <x:c r="G33" s="19" t="n">
        <x:f>IF(OR(D33="",F33=""),"待填写",D33*F33)</x:f>
        <x:v>40</x:v>
      </x:c>
      <x:c r="H33" s="16" t="str">
        <x:v>预留</x:v>
      </x:c>
      <x:c r="I33" s="16" t="str">
        <x:v>无固定模型尺寸</x:v>
      </x:c>
      <x:c r="J33" s="2"/>
      <x:c r="K33" s="20" t="str">
        <x:v>预算预留，不是已发生支出</x:v>
      </x:c>
      <x:c r="L33" s="20" t="str">
        <x:v>不含购买打印机/焊接工具和长期语音服务费用</x:v>
      </x:c>
    </x:row>
    <x:row r="34" ht="24" customHeight="1">
      <x:c r="A34" s="2"/>
      <x:c r="B34" s="2"/>
      <x:c r="C34" s="2"/>
      <x:c r="D34" s="2"/>
      <x:c r="E34" s="2"/>
      <x:c r="F34" s="5"/>
      <x:c r="G34" s="5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12" t="str">
        <x:v>现金预留合计</x:v>
      </x:c>
      <x:c r="G35" s="12" t="n">
        <x:f>IF(COUNT(G11:G33)=ROWS(G11:G33),SUM(G11:G33),"待填写")</x:f>
        <x:v>580.4</x:v>
      </x:c>
      <x:c r="H35" s="10"/>
      <x:c r="I35" s="10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conditionalFormatting sqref="G11:G33">
    <x:cfRule type="containsText" dxfId="0" priority="1" operator="containsText" text="待填写"/>
  </x:conditionalFormatting>
  <x:dataValidations count="1">
    <x:dataValidation type="whole" operator="between" sqref="D11:D33">
      <x:formula1>0</x:formula1>
      <x:formula2>1000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372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8" hidden="0" customWidth="1"/>
    <x:col min="3" max="3" width="26" hidden="0" customWidth="1"/>
    <x:col min="4" max="4" width="44" hidden="0" customWidth="1"/>
    <x:col min="5" max="5" width="58" hidden="0" customWidth="1"/>
    <x:col min="6" max="6" width="38" hidden="0" customWidth="1"/>
    <x:col min="7" max="7" width="48" hidden="0" customWidth="1"/>
    <x:col min="8" max="8" width="32" hidden="0" customWidth="1"/>
    <x:col min="9" max="9" width="2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3" t="str">
        <x:v>开孔之前，需要哪些准确尺寸</x:v>
      </x:c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 t="str">
        <x:v>型号、商品尺寸图和装配方式足够明确时可以开始细化；关键配合仍应通过小件试样确认。</x:v>
      </x:c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 t="str">
        <x:v>H 列留给实测值或收到的尺寸图。主控小板用可更换托板；外壳接口可用可更换接口板。</x:v>
      </x:c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2"/>
      <x:c r="B7" s="9" t="str">
        <x:v>编号</x:v>
      </x:c>
      <x:c r="C7" s="9" t="str">
        <x:v>器件 / 决定</x:v>
      </x:c>
      <x:c r="D7" s="9" t="str">
        <x:v>已有依据（mm）</x:v>
      </x:c>
      <x:c r="E7" s="9" t="str">
        <x:v>必须补齐的尺寸或决定</x:v>
      </x:c>
      <x:c r="F7" s="9" t="str">
        <x:v>对应结构</x:v>
      </x:c>
      <x:c r="G7" s="9" t="str">
        <x:v>依据</x:v>
      </x:c>
      <x:c r="H7" s="9" t="str">
        <x:v>实测值 / 文件</x:v>
      </x:c>
      <x:c r="I7" s="9" t="str">
        <x:v>当前状态</x:v>
      </x:c>
    </x:row>
    <x:row r="8" ht="74" customHeight="1">
      <x:c r="A8" s="2"/>
      <x:c r="B8" s="16" t="str">
        <x:v>D01</x:v>
      </x:c>
      <x:c r="C8" s="16" t="str">
        <x:v>显示屏＋EC11整板</x:v>
      </x:c>
      <x:c r="D8" s="16" t="str">
        <x:v>商品91×44；孔距84.5×37.5，孔Ø3</x:v>
      </x:c>
      <x:c r="E8" s="16" t="str">
        <x:v>板厚、玻璃/发光区尺寸及偏置；旋钮/按键/排针总高</x:v>
      </x:c>
      <x:c r="F8" s="16" t="str">
        <x:v>前盖、居中开窗、支架、机身深度</x:v>
      </x:c>
      <x:c r="G8" s="16" t="str">
        <x:v>商品图；V1测量表</x:v>
      </x:c>
      <x:c r="H8" s="21" t="str">
        <x:v>未提供</x:v>
      </x:c>
      <x:c r="I8" s="16" t="str">
        <x:v>型号已选，详细尺寸缺失</x:v>
      </x:c>
    </x:row>
    <x:row r="9" ht="74" customHeight="1">
      <x:c r="A9" s="2"/>
      <x:c r="B9" s="16" t="str">
        <x:v>D02</x:v>
      </x:c>
      <x:c r="C9" s="16" t="str">
        <x:v>屏幕平齐安装方式</x:v>
      </x:c>
      <x:c r="D9" s="16" t="str">
        <x:v>V1玻璃后退约20.8；旋钮完整藏盖内</x:v>
      </x:c>
      <x:c r="E9" s="16" t="str">
        <x:v>选择移置控件、换纯屏，或允许局部凸罩；核对高度链</x:v>
      </x:c>
      <x:c r="F9" s="16" t="str">
        <x:v>决定前盖截面，不能靠移动假屏面解决</x:v>
      </x:c>
      <x:c r="G9" s="16" t="str">
        <x:v>V1参数和用户平齐需求</x:v>
      </x:c>
      <x:c r="H9" s="21" t="str">
        <x:v>未决定</x:v>
      </x:c>
      <x:c r="I9" s="16" t="str">
        <x:v>需要先决定结构方式</x:v>
      </x:c>
    </x:row>
    <x:row r="10" ht="74" customHeight="1">
      <x:c r="A10" s="2"/>
      <x:c r="B10" s="16" t="str">
        <x:v>D03</x:v>
      </x:c>
      <x:c r="C10" s="16" t="str">
        <x:v>8个MG90S本体</x:v>
      </x:c>
      <x:c r="D10" s="16" t="str">
        <x:v>已选全金属齿轮180度；V1为占位</x:v>
      </x:c>
      <x:c r="E10" s="16" t="str">
        <x:v>含安装耳尺寸、孔距孔径、轴中心/高度、线缆出口、质量</x:v>
      </x:c>
      <x:c r="F10" s="16" t="str">
        <x:v>四腿安装座、关节位置与摆动范围</x:v>
      </x:c>
      <x:c r="G10" s="16" t="str">
        <x:v>所选商家尺寸图/实物；官方仅作型号参考</x:v>
      </x:c>
      <x:c r="H10" s="21" t="str">
        <x:v>未提供</x:v>
      </x:c>
      <x:c r="I10" s="16" t="str">
        <x:v>商品已选，安装尺寸缺失</x:v>
      </x:c>
    </x:row>
    <x:row r="11" ht="74" customHeight="1">
      <x:c r="A11" s="2"/>
      <x:c r="B11" s="16" t="str">
        <x:v>D04</x:v>
      </x:c>
      <x:c r="C11" s="16" t="str">
        <x:v>配套舵盘＋中心螺丝</x:v>
      </x:c>
      <x:c r="D11" s="16" t="str">
        <x:v>主图有塑料舵盘和螺丝</x:v>
      </x:c>
      <x:c r="E11" s="16" t="str">
        <x:v>舵盘厚度、孔位、花键配合、中心螺丝规格与工具空间</x:v>
      </x:c>
      <x:c r="F11" s="16" t="str">
        <x:v>上/下腿连接，不能按通用圆盘硬画</x:v>
      </x:c>
      <x:c r="G11" s="16" t="str">
        <x:v>所选MG90S配套实物</x:v>
      </x:c>
      <x:c r="H11" s="21" t="str">
        <x:v>未提供</x:v>
      </x:c>
      <x:c r="I11" s="16" t="str">
        <x:v>必须先有尺寸</x:v>
      </x:c>
    </x:row>
    <x:row r="12" ht="74" customHeight="1">
      <x:c r="A12" s="2"/>
      <x:c r="B12" s="16" t="str">
        <x:v>D05</x:v>
      </x:c>
      <x:c r="C12" s="16" t="str">
        <x:v>内置电池包</x:v>
      </x:c>
      <x:c r="D12" s="16" t="str">
        <x:v>用户确认首版带电池；建议研究2S成品包</x:v>
      </x:c>
      <x:c r="E12" s="16" t="str">
        <x:v>含保护板/包膜外形、质量、线缆和插头、放电/充电参数</x:v>
      </x:c>
      <x:c r="F12" s="16" t="str">
        <x:v>电池仓、机身内腔、底盖和整机重心</x:v>
      </x:c>
      <x:c r="G12" s="16" t="str">
        <x:v>待选商品及尺寸图</x:v>
      </x:c>
      <x:c r="H12" s="21" t="str">
        <x:v>未提供</x:v>
      </x:c>
      <x:c r="I12" s="16" t="str">
        <x:v>必须先选具体电池</x:v>
      </x:c>
    </x:row>
    <x:row r="13" ht="74" customHeight="1">
      <x:c r="A13" s="2"/>
      <x:c r="B13" s="16" t="str">
        <x:v>D06</x:v>
      </x:c>
      <x:c r="C13" s="16" t="str">
        <x:v>充电插座＋电源开关</x:v>
      </x:c>
      <x:c r="D13" s="16" t="str">
        <x:v>充电器/插座需成套匹配；开关待选</x:v>
      </x:c>
      <x:c r="E13" s="16" t="str">
        <x:v>开孔、面板夹持厚度、内侧尺寸、端子朝向和操作行程</x:v>
      </x:c>
      <x:c r="F13" s="16" t="str">
        <x:v>后部可更换接口板和固定结构</x:v>
      </x:c>
      <x:c r="G13" s="16" t="str">
        <x:v>待选商品图</x:v>
      </x:c>
      <x:c r="H13" s="21" t="str">
        <x:v>未提供</x:v>
      </x:c>
      <x:c r="I13" s="16" t="str">
        <x:v>开孔前必须确定</x:v>
      </x:c>
    </x:row>
    <x:row r="14" ht="74" customHeight="1">
      <x:c r="A14" s="2"/>
      <x:c r="B14" s="16" t="str">
        <x:v>D07</x:v>
      </x:c>
      <x:c r="C14" s="16" t="str">
        <x:v>ESP32-S3主控板</x:v>
      </x:c>
      <x:c r="D14" s="16" t="str">
        <x:v>N16R8方向；可参考微雪加焊排针款</x:v>
      </x:c>
      <x:c r="E14" s="16" t="str">
        <x:v>具体板型长宽高、排针/排母、USB位置、插头空间、天线边界</x:v>
      </x:c>
      <x:c r="F14" s="16" t="str">
        <x:v>可换托板与USB开孔</x:v>
      </x:c>
      <x:c r="G14" s="16" t="str">
        <x:v>微雪官方页面及所选实物</x:v>
      </x:c>
      <x:c r="H14" s="21" t="str">
        <x:v>未提供</x:v>
      </x:c>
      <x:c r="I14" s="16" t="str">
        <x:v>托板孔位前确定</x:v>
      </x:c>
    </x:row>
    <x:row r="15" ht="74" customHeight="1">
      <x:c r="A15" s="2"/>
      <x:c r="B15" s="16" t="str">
        <x:v>D08</x:v>
      </x:c>
      <x:c r="C15" s="16" t="str">
        <x:v>喇叭</x:v>
      </x:c>
      <x:c r="D15" s="16" t="str">
        <x:v>4Ω3W方向；V1的Ø28×7仅占位</x:v>
      </x:c>
      <x:c r="E15" s="16" t="str">
        <x:v>外框、厚度、磁体、孔位/压边、出线位置与所需背腔</x:v>
      </x:c>
      <x:c r="F15" s="16" t="str">
        <x:v>声孔、支架、壳内背腔</x:v>
      </x:c>
      <x:c r="G15" s="16" t="str">
        <x:v>待选商品图</x:v>
      </x:c>
      <x:c r="H15" s="21" t="str">
        <x:v>未提供</x:v>
      </x:c>
      <x:c r="I15" s="16" t="str">
        <x:v>声孔和固定座前确定</x:v>
      </x:c>
    </x:row>
    <x:row r="16" ht="74" customHeight="1">
      <x:c r="A16" s="2"/>
      <x:c r="B16" s="16" t="str">
        <x:v>D09</x:v>
      </x:c>
      <x:c r="C16" s="16" t="str">
        <x:v>麦克风</x:v>
      </x:c>
      <x:c r="D16" s="16" t="str">
        <x:v>I²S模块方向；具体板型未选</x:v>
      </x:c>
      <x:c r="E16" s="16" t="str">
        <x:v>顶/底拾音孔方向、板体和声孔坐标、接线高度</x:v>
      </x:c>
      <x:c r="F16" s="16" t="str">
        <x:v>收音孔、导音泡棉与麦克风座</x:v>
      </x:c>
      <x:c r="G16" s="16" t="str">
        <x:v>待选商品图</x:v>
      </x:c>
      <x:c r="H16" s="21" t="str">
        <x:v>未提供</x:v>
      </x:c>
      <x:c r="I16" s="16" t="str">
        <x:v>收音孔前确定</x:v>
      </x:c>
    </x:row>
    <x:row r="17" ht="74" customHeight="1">
      <x:c r="A17" s="2"/>
      <x:c r="B17" s="16" t="str">
        <x:v>D10</x:v>
      </x:c>
      <x:c r="C17" s="16" t="str">
        <x:v>PCA9685/功放/两路降压模块</x:v>
      </x:c>
      <x:c r="D17" s="16" t="str">
        <x:v>芯片/接口方向已给，成品板未选</x:v>
      </x:c>
      <x:c r="E17" s="16" t="str">
        <x:v>外形、孔位、高件、端子、散热和线束插拔</x:v>
      </x:c>
      <x:c r="F17" s="16" t="str">
        <x:v>可更换托板、内腔和通风</x:v>
      </x:c>
      <x:c r="G17" s="16" t="str">
        <x:v>待选成品板图；不要把芯片尺寸当板尺寸</x:v>
      </x:c>
      <x:c r="H17" s="21" t="str">
        <x:v>未提供</x:v>
      </x:c>
      <x:c r="I17" s="16" t="str">
        <x:v>可先预留，固定孔后定</x:v>
      </x:c>
    </x:row>
    <x:row r="18" ht="74" customHeight="1">
      <x:c r="A18" s="2"/>
      <x:c r="B18" s="16" t="str">
        <x:v>D11</x:v>
      </x:c>
      <x:c r="C18" s="16" t="str">
        <x:v>自定义PCB</x:v>
      </x:c>
      <x:c r="D18" s="16" t="str">
        <x:v>原理图和布线未开始</x:v>
      </x:c>
      <x:c r="E18" s="16" t="str">
        <x:v>先共定板框、固定孔、接口方向、元件高度与禁布区</x:v>
      </x:c>
      <x:c r="F18" s="16" t="str">
        <x:v>托板、机身内腔和外部接口</x:v>
      </x:c>
      <x:c r="G18" s="16" t="str">
        <x:v>我们设计的机械约束</x:v>
      </x:c>
      <x:c r="H18" s="21" t="str">
        <x:v>未设计</x:v>
      </x:c>
      <x:c r="I18" s="16" t="str">
        <x:v>板框孔位需先定，布线可并行</x:v>
      </x:c>
    </x:row>
    <x:row r="19" ht="74" customHeight="1">
      <x:c r="A19" s="2"/>
      <x:c r="B19" s="16" t="str">
        <x:v>D12</x:v>
      </x:c>
      <x:c r="C19" s="16" t="str">
        <x:v>紧固件＋软脚垫</x:v>
      </x:c>
      <x:c r="D19" s="16" t="str">
        <x:v>紧固建议M2为起点；脚垫4只</x:v>
      </x:c>
      <x:c r="E19" s="16" t="str">
        <x:v>螺钉头/长度、螺母外形、柱高、脚垫外形</x:v>
      </x:c>
      <x:c r="F19" s="16" t="str">
        <x:v>可拆壳体、舵盘连接和脚底</x:v>
      </x:c>
      <x:c r="G19" s="16" t="str">
        <x:v>供货尺寸与结构设计</x:v>
      </x:c>
      <x:c r="H19" s="21" t="str">
        <x:v>未提供</x:v>
      </x:c>
      <x:c r="I19" s="16" t="str">
        <x:v>加工孔之前定</x:v>
      </x:c>
    </x:row>
    <x:row r="20" ht="74" customHeight="1">
      <x:c r="A20" s="2"/>
      <x:c r="B20" s="16" t="str">
        <x:v>D13</x:v>
      </x:c>
      <x:c r="C20" s="16" t="str">
        <x:v>腿长、关节轴向和承载</x:v>
      </x:c>
      <x:c r="D20" s="16" t="str">
        <x:v>当前两关节仅姿态占位，含腿宽208</x:v>
      </x:c>
      <x:c r="E20" s="16" t="str">
        <x:v>运动范围、有效力臂、整机质量/重心、舵机持续工作能力</x:v>
      </x:c>
      <x:c r="F20" s="16" t="str">
        <x:v>腿、支架、避让、站姿</x:v>
      </x:c>
      <x:c r="G20" s="16" t="str">
        <x:v>我们设计并由单腿/整机测试验证</x:v>
      </x:c>
      <x:c r="H20" s="21" t="str">
        <x:v>未设计</x:v>
      </x:c>
      <x:c r="I20" s="16" t="str">
        <x:v>不能照抄V1当运动机构</x:v>
      </x:c>
    </x:row>
    <x:row r="21" ht="74" customHeight="1">
      <x:c r="A21" s="2"/>
      <x:c r="B21" s="16" t="str">
        <x:v>D14</x:v>
      </x:c>
      <x:c r="C21" s="16" t="str">
        <x:v>打印材料与公差</x:v>
      </x:c>
      <x:c r="D21" s="16" t="str">
        <x:v>配色磨砂已定；V1壁厚2.4、间隙为试验值</x:v>
      </x:c>
      <x:c r="E21" s="16" t="str">
        <x:v>材料、工艺、供应商公差；薄件厚度和孔配合试样</x:v>
      </x:c>
      <x:c r="F21" s="16" t="str">
        <x:v>所有最终打印件，尤其关节和螺母槽</x:v>
      </x:c>
      <x:c r="G21" s="16" t="str">
        <x:v>商家能力与试样</x:v>
      </x:c>
      <x:c r="H21" s="21" t="str">
        <x:v>未确定</x:v>
      </x:c>
      <x:c r="I21" s="16" t="str">
        <x:v>整套发布前确定</x:v>
      </x:c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372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9" hidden="0" customWidth="1"/>
    <x:col min="3" max="3" width="34" hidden="0" customWidth="1"/>
    <x:col min="4" max="4" width="10" hidden="0" customWidth="1"/>
    <x:col min="5" max="5" width="34" hidden="0" customWidth="1"/>
    <x:col min="6" max="6" width="64" hidden="0" customWidth="1"/>
    <x:col min="7" max="7" width="4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2"/>
      <x:c r="B2" s="3" t="str">
        <x:v>外壳与安装配件分件计划</x:v>
      </x:c>
      <x:c r="C2" s="2"/>
      <x:c r="D2" s="2"/>
      <x:c r="E2" s="2"/>
      <x:c r="F2" s="2"/>
      <x:c r="G2" s="2"/>
    </x:row>
    <x:row r="3" ht="24" customHeight="1">
      <x:c r="A3" s="2"/>
      <x:c r="B3" s="4"/>
      <x:c r="C3" s="4"/>
      <x:c r="D3" s="4"/>
      <x:c r="E3" s="4"/>
      <x:c r="F3" s="4"/>
      <x:c r="G3" s="4"/>
    </x:row>
    <x:row r="4" ht="24" customHeight="1">
      <x:c r="A4" s="2"/>
      <x:c r="B4" s="2" t="str">
        <x:v>预计分件清单，不是已发布的 STL 数量；允许将垫柱/夹子等并入相邻零件。</x:v>
      </x:c>
      <x:c r="C4" s="2"/>
      <x:c r="D4" s="2"/>
      <x:c r="E4" s="2"/>
      <x:c r="F4" s="2"/>
      <x:c r="G4" s="2"/>
    </x:row>
    <x:row r="5" ht="24" customHeight="1">
      <x:c r="A5" s="2"/>
      <x:c r="B5" s="2" t="str">
        <x:v>电池托架、实际舵机承载座和后接口板需新增；外购舵机、舵盘和螺丝不在打印件中。</x:v>
      </x:c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2"/>
      <x:c r="B7" s="9" t="str">
        <x:v>编号</x:v>
      </x:c>
      <x:c r="C7" s="9" t="str">
        <x:v>部件</x:v>
      </x:c>
      <x:c r="D7" s="9" t="str">
        <x:v>预计数量</x:v>
      </x:c>
      <x:c r="E7" s="9" t="str">
        <x:v>颜色 / 材料方向</x:v>
      </x:c>
      <x:c r="F7" s="9" t="str">
        <x:v>定尺寸和连接的依据</x:v>
      </x:c>
      <x:c r="G7" s="9" t="str">
        <x:v>目前状态</x:v>
      </x:c>
    </x:row>
    <x:row r="8" ht="53" customHeight="1">
      <x:c r="A8" s="2"/>
      <x:c r="B8" s="16" t="str">
        <x:v>S01</x:v>
      </x:c>
      <x:c r="C8" s="16" t="str">
        <x:v>主壳</x:v>
      </x:c>
      <x:c r="D8" s="22" t="n">
        <x:v>1</x:v>
      </x:c>
      <x:c r="E8" s="16" t="str">
        <x:v>奶油白，低光泽</x:v>
      </x:c>
      <x:c r="F8" s="16" t="str">
        <x:v>前/底盖接口、舵机载荷路径</x:v>
      </x:c>
      <x:c r="G8" s="16" t="str">
        <x:v>V1有外形，结构待细化</x:v>
      </x:c>
    </x:row>
    <x:row r="9" ht="53" customHeight="1">
      <x:c r="A9" s="2"/>
      <x:c r="B9" s="16" t="str">
        <x:v>S02</x:v>
      </x:c>
      <x:c r="C9" s="16" t="str">
        <x:v>可拆前盖</x:v>
      </x:c>
      <x:c r="D9" s="22" t="n">
        <x:v>1</x:v>
      </x:c>
      <x:c r="E9" s="16" t="str">
        <x:v>奶油白</x:v>
      </x:c>
      <x:c r="F9" s="16" t="str">
        <x:v>有效开窗、屏幕平齐方式</x:v>
      </x:c>
      <x:c r="G9" s="16" t="str">
        <x:v>需要重做前端高度关系</x:v>
      </x:c>
    </x:row>
    <x:row r="10" ht="53" customHeight="1">
      <x:c r="A10" s="2"/>
      <x:c r="B10" s="16" t="str">
        <x:v>S03</x:v>
      </x:c>
      <x:c r="C10" s="16" t="str">
        <x:v>底盖/维修盖</x:v>
      </x:c>
      <x:c r="D10" s="22" t="n">
        <x:v>1</x:v>
      </x:c>
      <x:c r="E10" s="16" t="str">
        <x:v>奶油白</x:v>
      </x:c>
      <x:c r="F10" s="16" t="str">
        <x:v>电池取出、紧固和工具通路</x:v>
      </x:c>
      <x:c r="G10" s="16" t="str">
        <x:v>V1有外形，锁止待设计</x:v>
      </x:c>
    </x:row>
    <x:row r="11" ht="53" customHeight="1">
      <x:c r="A11" s="2"/>
      <x:c r="B11" s="16" t="str">
        <x:v>S04</x:v>
      </x:c>
      <x:c r="C11" s="16" t="str">
        <x:v>前脸薄荷装饰圈</x:v>
      </x:c>
      <x:c r="D11" s="22" t="n">
        <x:v>1</x:v>
      </x:c>
      <x:c r="E11" s="16" t="str">
        <x:v>薄荷绿</x:v>
      </x:c>
      <x:c r="F11" s="16" t="str">
        <x:v>可独立嵌件或着色，避免过薄</x:v>
      </x:c>
      <x:c r="G11" s="16" t="str">
        <x:v>V1仅0.4mm深，需按工艺调整</x:v>
      </x:c>
    </x:row>
    <x:row r="12" ht="53" customHeight="1">
      <x:c r="A12" s="2"/>
      <x:c r="B12" s="16" t="str">
        <x:v>S05</x:v>
      </x:c>
      <x:c r="C12" s="16" t="str">
        <x:v>屏幕固定支架</x:v>
      </x:c>
      <x:c r="D12" s="22" t="n">
        <x:v>1</x:v>
      </x:c>
      <x:c r="E12" s="16" t="str">
        <x:v>内部色不限</x:v>
      </x:c>
      <x:c r="F12" s="16" t="str">
        <x:v>91×44板与真实孔位，需排针避让</x:v>
      </x:c>
      <x:c r="G12" s="16" t="str">
        <x:v>V1占位支架，待实测</x:v>
      </x:c>
    </x:row>
    <x:row r="13" ht="53" customHeight="1">
      <x:c r="A13" s="2"/>
      <x:c r="B13" s="16" t="str">
        <x:v>S06</x:v>
      </x:c>
      <x:c r="C13" s="16" t="str">
        <x:v>短遮光圈/玻璃保护边</x:v>
      </x:c>
      <x:c r="D13" s="22" t="n">
        <x:v>1</x:v>
      </x:c>
      <x:c r="E13" s="16" t="str">
        <x:v>深色或奶白内部</x:v>
      </x:c>
      <x:c r="F13" s="16" t="str">
        <x:v>与平齐方案联动，不沿用20mm深井</x:v>
      </x:c>
      <x:c r="G13" s="16" t="str">
        <x:v>重新设计</x:v>
      </x:c>
    </x:row>
    <x:row r="14" ht="53" customHeight="1">
      <x:c r="A14" s="2"/>
      <x:c r="B14" s="16" t="str">
        <x:v>S07</x:v>
      </x:c>
      <x:c r="C14" s="16" t="str">
        <x:v>屏幕隔离垫柱</x:v>
      </x:c>
      <x:c r="D14" s="22" t="n">
        <x:v>4</x:v>
      </x:c>
      <x:c r="E14" s="16" t="str">
        <x:v>内部色不限</x:v>
      </x:c>
      <x:c r="F14" s="16" t="str">
        <x:v>真实板厚和安装高度，可并入支架</x:v>
      </x:c>
      <x:c r="G14" s="16" t="str">
        <x:v>按实物定高，数量可合并</x:v>
      </x:c>
    </x:row>
    <x:row r="15" ht="53" customHeight="1">
      <x:c r="A15" s="2"/>
      <x:c r="B15" s="16" t="str">
        <x:v>S08</x:v>
      </x:c>
      <x:c r="C15" s="16" t="str">
        <x:v>可更换电子托板</x:v>
      </x:c>
      <x:c r="D15" s="22" t="n">
        <x:v>1</x:v>
      </x:c>
      <x:c r="E15" s="16" t="str">
        <x:v>内部色不限</x:v>
      </x:c>
      <x:c r="F15" s="16" t="str">
        <x:v>主控、驱动和PCB板框孔位</x:v>
      </x:c>
      <x:c r="G15" s="16" t="str">
        <x:v>V1有占位，孔位待定</x:v>
      </x:c>
    </x:row>
    <x:row r="16" ht="53" customHeight="1">
      <x:c r="A16" s="2"/>
      <x:c r="B16" s="16" t="str">
        <x:v>S09</x:v>
      </x:c>
      <x:c r="C16" s="16" t="str">
        <x:v>耳框</x:v>
      </x:c>
      <x:c r="D16" s="22" t="n">
        <x:v>2</x:v>
      </x:c>
      <x:c r="E16" s="16" t="str">
        <x:v>薄荷绿</x:v>
      </x:c>
      <x:c r="F16" s="16" t="str">
        <x:v>底座可拆，避开声孔</x:v>
      </x:c>
      <x:c r="G16" s="16" t="str">
        <x:v>V1有形状，紧固待细化</x:v>
      </x:c>
    </x:row>
    <x:row r="17" ht="53" customHeight="1">
      <x:c r="A17" s="2"/>
      <x:c r="B17" s="16" t="str">
        <x:v>S10</x:v>
      </x:c>
      <x:c r="C17" s="16" t="str">
        <x:v>耳内片</x:v>
      </x:c>
      <x:c r="D17" s="22" t="n">
        <x:v>2</x:v>
      </x:c>
      <x:c r="E17" s="16" t="str">
        <x:v>奶油白</x:v>
      </x:c>
      <x:c r="F17" s="16" t="str">
        <x:v>可嵌入，按工艺确定厚度</x:v>
      </x:c>
      <x:c r="G17" s="16" t="str">
        <x:v>V1厚0.7mm，待工艺调整</x:v>
      </x:c>
    </x:row>
    <x:row r="18" ht="53" customHeight="1">
      <x:c r="A18" s="2"/>
      <x:c r="B18" s="16" t="str">
        <x:v>S11</x:v>
      </x:c>
      <x:c r="C18" s="16" t="str">
        <x:v>机身侧舵机安装座</x:v>
      </x:c>
      <x:c r="D18" s="22" t="n">
        <x:v>4</x:v>
      </x:c>
      <x:c r="E18" s="16" t="str">
        <x:v>薄荷绿/内部结构色</x:v>
      </x:c>
      <x:c r="F18" s="16" t="str">
        <x:v>MG90S安装耳、轴线、承载连接</x:v>
      </x:c>
      <x:c r="G18" s="16" t="str">
        <x:v>V1仅占位，需新建</x:v>
      </x:c>
    </x:row>
    <x:row r="19" ht="53" customHeight="1">
      <x:c r="A19" s="2"/>
      <x:c r="B19" s="16" t="str">
        <x:v>S12</x:v>
      </x:c>
      <x:c r="C19" s="16" t="str">
        <x:v>上腿/第二舵机承载件</x:v>
      </x:c>
      <x:c r="D19" s="22" t="n">
        <x:v>4</x:v>
      </x:c>
      <x:c r="E19" s="16" t="str">
        <x:v>薄荷绿；结构材料待定</x:v>
      </x:c>
      <x:c r="F19" s="16" t="str">
        <x:v>输出舵盘与第二舵机本体固定</x:v>
      </x:c>
      <x:c r="G19" s="16" t="str">
        <x:v>需按MG90S与舵盘重画</x:v>
      </x:c>
    </x:row>
    <x:row r="20" ht="53" customHeight="1">
      <x:c r="A20" s="2"/>
      <x:c r="B20" s="16" t="str">
        <x:v>S13</x:v>
      </x:c>
      <x:c r="C20" s="16" t="str">
        <x:v>下腿</x:v>
      </x:c>
      <x:c r="D20" s="22" t="n">
        <x:v>4</x:v>
      </x:c>
      <x:c r="E20" s="16" t="str">
        <x:v>薄荷绿；结构材料待定</x:v>
      </x:c>
      <x:c r="F20" s="16" t="str">
        <x:v>舵盘连接、限位、脚垫</x:v>
      </x:c>
      <x:c r="G20" s="16" t="str">
        <x:v>需按舵盘与步态重画</x:v>
      </x:c>
    </x:row>
    <x:row r="21" ht="53" customHeight="1">
      <x:c r="A21" s="2"/>
      <x:c r="B21" s="16" t="str">
        <x:v>S14</x:v>
      </x:c>
      <x:c r="C21" s="16" t="str">
        <x:v>关节装饰盖</x:v>
      </x:c>
      <x:c r="D21" s="22" t="n">
        <x:v>8</x:v>
      </x:c>
      <x:c r="E21" s="16" t="str">
        <x:v>奶白/薄荷绿</x:v>
      </x:c>
      <x:c r="F21" s="16" t="str">
        <x:v>旋转避让与中心螺丝可达</x:v>
      </x:c>
      <x:c r="G21" s="16" t="str">
        <x:v>V1有外观，需调整</x:v>
      </x:c>
    </x:row>
    <x:row r="22" ht="53" customHeight="1">
      <x:c r="A22" s="2"/>
      <x:c r="B22" s="16" t="str">
        <x:v>S15</x:v>
      </x:c>
      <x:c r="C22" s="16" t="str">
        <x:v>电池托架</x:v>
      </x:c>
      <x:c r="D22" s="22" t="n">
        <x:v>1</x:v>
      </x:c>
      <x:c r="E22" s="16" t="str">
        <x:v>内部色不限</x:v>
      </x:c>
      <x:c r="F22" s="16" t="str">
        <x:v>按成品电池外形、质量与出线设计</x:v>
      </x:c>
      <x:c r="G22" s="16" t="str">
        <x:v>新增，等待电池型号</x:v>
      </x:c>
    </x:row>
    <x:row r="23" ht="53" customHeight="1">
      <x:c r="A23" s="2"/>
      <x:c r="B23" s="16" t="str">
        <x:v>S16</x:v>
      </x:c>
      <x:c r="C23" s="16" t="str">
        <x:v>电池压条/束带座</x:v>
      </x:c>
      <x:c r="D23" s="22" t="n">
        <x:v>1</x:v>
      </x:c>
      <x:c r="E23" s="16" t="str">
        <x:v>内部色不限</x:v>
      </x:c>
      <x:c r="F23" s="16" t="str">
        <x:v>固定牢靠且不压迫电池</x:v>
      </x:c>
      <x:c r="G23" s="16" t="str">
        <x:v>新增，随托架设计</x:v>
      </x:c>
    </x:row>
    <x:row r="24" ht="53" customHeight="1">
      <x:c r="A24" s="2"/>
      <x:c r="B24" s="16" t="str">
        <x:v>S17</x:v>
      </x:c>
      <x:c r="C24" s="16" t="str">
        <x:v>喇叭支架/背腔件</x:v>
      </x:c>
      <x:c r="D24" s="22" t="n">
        <x:v>1</x:v>
      </x:c>
      <x:c r="E24" s="16" t="str">
        <x:v>内部色不限</x:v>
      </x:c>
      <x:c r="F24" s="16" t="str">
        <x:v>喇叭外框、磁体与声学空间</x:v>
      </x:c>
      <x:c r="G24" s="16" t="str">
        <x:v>新增/与壳体整合待定</x:v>
      </x:c>
    </x:row>
    <x:row r="25" ht="53" customHeight="1">
      <x:c r="A25" s="2"/>
      <x:c r="B25" s="16" t="str">
        <x:v>S18</x:v>
      </x:c>
      <x:c r="C25" s="16" t="str">
        <x:v>麦克风固定座</x:v>
      </x:c>
      <x:c r="D25" s="22" t="n">
        <x:v>1</x:v>
      </x:c>
      <x:c r="E25" s="16" t="str">
        <x:v>内部色不限</x:v>
      </x:c>
      <x:c r="F25" s="16" t="str">
        <x:v>拾音孔与泡棉导音对齐</x:v>
      </x:c>
      <x:c r="G25" s="16" t="str">
        <x:v>新增，待麦克风板型</x:v>
      </x:c>
    </x:row>
    <x:row r="26" ht="53" customHeight="1">
      <x:c r="A26" s="2"/>
      <x:c r="B26" s="16" t="str">
        <x:v>S19</x:v>
      </x:c>
      <x:c r="C26" s="16" t="str">
        <x:v>后部可更换接口板</x:v>
      </x:c>
      <x:c r="D26" s="22" t="n">
        <x:v>1</x:v>
      </x:c>
      <x:c r="E26" s="16" t="str">
        <x:v>奶油白</x:v>
      </x:c>
      <x:c r="F26" s="16" t="str">
        <x:v>充电、USB、开关的具体开孔</x:v>
      </x:c>
      <x:c r="G26" s="16" t="str">
        <x:v>新增，等待连接器</x:v>
      </x:c>
    </x:row>
    <x:row r="27" ht="53" customHeight="1">
      <x:c r="A27" s="2"/>
      <x:c r="B27" s="16" t="str">
        <x:v>S20</x:v>
      </x:c>
      <x:c r="C27" s="16" t="str">
        <x:v>线束固定夹</x:v>
      </x:c>
      <x:c r="D27" s="22" t="n">
        <x:v>2</x:v>
      </x:c>
      <x:c r="E27" s="16" t="str">
        <x:v>内部色不限</x:v>
      </x:c>
      <x:c r="F27" s="16" t="str">
        <x:v>弯曲/插拔空间、避免进入关节</x:v>
      </x:c>
      <x:c r="G27" s="16" t="str">
        <x:v>建议起始数量，布局后调整</x:v>
      </x:c>
    </x:row>
    <x:row r="28" ht="53" customHeight="1">
      <x:c r="A28" s="2"/>
      <x:c r="B28" s="16" t="str">
        <x:v>S21</x:v>
      </x:c>
      <x:c r="C28" s="16" t="str">
        <x:v>舵机局部装饰罩（可选）</x:v>
      </x:c>
      <x:c r="D28" s="22" t="n">
        <x:v>8</x:v>
      </x:c>
      <x:c r="E28" s="16" t="str">
        <x:v>薄荷绿/奶油白</x:v>
      </x:c>
      <x:c r="F28" s="16" t="str">
        <x:v>只遮外露侧面，留散热和摆动空间</x:v>
      </x:c>
      <x:c r="G28" s="16" t="str">
        <x:v>可选外观件，运动校核后决定</x:v>
      </x:c>
    </x:row>
    <x:row r="29" ht="24" customHeight="1">
      <x:c r="A29" s="2"/>
      <x:c r="B29" s="2"/>
      <x:c r="C29" s="2"/>
      <x:c r="D29" s="2"/>
      <x:c r="E29" s="2"/>
      <x:c r="F29" s="2"/>
      <x:c r="G29" s="2"/>
    </x:row>
  </x:sheetData>
  <x:pageMargins left="0.7" right="0.7" top="0.75" bottom="0.75" header="0.3" footer="0.3"/>
</x:worksheet>
</file>